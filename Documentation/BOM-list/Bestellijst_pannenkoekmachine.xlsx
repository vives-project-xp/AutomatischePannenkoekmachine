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arsy\Desktop\"/>
    </mc:Choice>
  </mc:AlternateContent>
  <xr:revisionPtr revIDLastSave="0" documentId="13_ncr:1_{8347C465-096F-4ED2-BF93-E49DF8AE720B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BOM" sheetId="2" r:id="rId1"/>
    <sheet name="Extra voorstellen" sheetId="3" r:id="rId2"/>
    <sheet name="3D-prints" sheetId="4" r:id="rId3"/>
  </sheets>
  <definedNames>
    <definedName name="_xlnm._FilterDatabase" localSheetId="0" hidden="1">BOM!$A$4:$M$23</definedName>
    <definedName name="_xlnm._FilterDatabase" localSheetId="1" hidden="1">'Extra voorstellen'!$A$4:$M$26</definedName>
    <definedName name="_xlnm.Print_Titles" localSheetId="0">BOM!$4:$4</definedName>
    <definedName name="_xlnm.Print_Titles" localSheetId="1">'Extra voorstellen'!$4:$4</definedName>
    <definedName name="pDME00112" localSheetId="0">BOM!$C$9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" i="4" l="1"/>
  <c r="K7" i="4"/>
  <c r="J7" i="4"/>
  <c r="J9" i="4" s="1"/>
  <c r="K6" i="4"/>
  <c r="J6" i="4"/>
  <c r="K5" i="4"/>
  <c r="J5" i="4"/>
  <c r="H31" i="3"/>
  <c r="H30" i="3"/>
  <c r="H29" i="3"/>
  <c r="H28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2" i="3"/>
  <c r="H11" i="3"/>
  <c r="H10" i="3"/>
  <c r="H23" i="2"/>
  <c r="H22" i="2"/>
  <c r="H21" i="2"/>
  <c r="H20" i="2"/>
  <c r="H19" i="2"/>
  <c r="H16" i="2"/>
  <c r="H15" i="2"/>
  <c r="H25" i="2" s="1"/>
  <c r="H14" i="2"/>
  <c r="H13" i="2"/>
  <c r="H12" i="2"/>
  <c r="H11" i="2"/>
  <c r="H10" i="2"/>
  <c r="H8" i="2"/>
  <c r="H7" i="2"/>
  <c r="H6" i="2"/>
  <c r="H5" i="2"/>
  <c r="D15" i="4" l="1"/>
  <c r="D16" i="4"/>
</calcChain>
</file>

<file path=xl/sharedStrings.xml><?xml version="1.0" encoding="utf-8"?>
<sst xmlns="http://schemas.openxmlformats.org/spreadsheetml/2006/main" count="367" uniqueCount="215">
  <si>
    <t>Totaal (€)</t>
  </si>
  <si>
    <t>123-3D</t>
  </si>
  <si>
    <t>Gotron</t>
  </si>
  <si>
    <t>Motedis</t>
  </si>
  <si>
    <t>Amazon.nl</t>
  </si>
  <si>
    <t>Otronic</t>
  </si>
  <si>
    <t>RC Motorsports</t>
  </si>
  <si>
    <t>Op voorraad</t>
  </si>
  <si>
    <t>AliExpress</t>
  </si>
  <si>
    <t>Bestellijst automatische pannenkoekmachine (PX3) - hoofdlijst</t>
  </si>
  <si>
    <t>Prijzen incl. btw volgens de productpagina's op 1 oktober 2026. Blauwe cellen zijn invoer (aantal, prijs); totalen zijn formules. Extra onderdelen staan op het tabblad ‘Extra voorstellen’, 3D-prints op ‘3D-prints’.</t>
  </si>
  <si>
    <t>#</t>
  </si>
  <si>
    <t>Categorie</t>
  </si>
  <si>
    <t>Component</t>
  </si>
  <si>
    <t>Specificatie</t>
  </si>
  <si>
    <t>Aantal</t>
  </si>
  <si>
    <t>Eenheid</t>
  </si>
  <si>
    <t>Prijs/eenheid (€, incl. btw)</t>
  </si>
  <si>
    <t>Status</t>
  </si>
  <si>
    <t>Webshop</t>
  </si>
  <si>
    <t>Artikelnr.</t>
  </si>
  <si>
    <t>Link</t>
  </si>
  <si>
    <t>Opmerking</t>
  </si>
  <si>
    <t>Aandrijving</t>
  </si>
  <si>
    <t>Stappenmotor NEMA17 40 mm (band ×2 + spatel)</t>
  </si>
  <si>
    <t>1,8°/stap · 42,3×42,3×40 mm · 1,2 A · 2,55 V · 4,08 kg·cm · as Ø5×22 mm</t>
  </si>
  <si>
    <t>st</t>
  </si>
  <si>
    <t>Te bestellen</t>
  </si>
  <si>
    <t>DMO00051</t>
  </si>
  <si>
    <t>Open</t>
  </si>
  <si>
    <t>Nog te kiezen</t>
  </si>
  <si>
    <t>–</t>
  </si>
  <si>
    <t>Prijs nog onbekend; stuur de gewenste motor door</t>
  </si>
  <si>
    <t>Stappenmotordriver DRV8825 (4-pack + koelblokjes)</t>
  </si>
  <si>
    <t>Vmotor 12–24 V · max 2,5 A · 1/32 microstep · Pololu-footprint</t>
  </si>
  <si>
    <t>pak (4)</t>
  </si>
  <si>
    <t>DSD00010</t>
  </si>
  <si>
    <t>1 driver per motor</t>
  </si>
  <si>
    <t>Stappenmotorkabel 4-draads</t>
  </si>
  <si>
    <t>30 cm € 1,70 · 50 cm € 2,25 · 100 cm € 2,80 (hier 50 cm)</t>
  </si>
  <si>
    <t>Nieuw uit schema; lengte naar opstelling</t>
  </si>
  <si>
    <t>GT2 pulley 20 tanden (op motor)</t>
  </si>
  <si>
    <t>9 mm riem · asgat 5 mm · Ø15 mm · hoogte 20 mm · ook geschikt voor de 6 mm riem</t>
  </si>
  <si>
    <t>DME00068</t>
  </si>
  <si>
    <t>Aantal bijstellen als de 6 mm riem extra pulleys nodig heeft</t>
  </si>
  <si>
    <t>GT2 pulley met lager (zijkant riemen)</t>
  </si>
  <si>
    <t>Idler · 9 mm riem · asgat 5 mm · aluminium · hoogte 14 mm</t>
  </si>
  <si>
    <t>DME00071</t>
  </si>
  <si>
    <t>Aantal ontbrak in oorspronkelijke lijst; voorstel 1 per band</t>
  </si>
  <si>
    <t>Open riem (geen lus) · glasvezel · steek 2 mm</t>
  </si>
  <si>
    <t>DME00239</t>
  </si>
  <si>
    <t>Einden moeten geklemd worden (zie tabblad 3D-prints)</t>
  </si>
  <si>
    <t>GT2 tandriem 6 mm, gesloten, 200 mm</t>
  </si>
  <si>
    <t>Gesloten lus · 6 mm breed · steek 2 mm · zelfde tandafstand als de 9 mm riem</t>
  </si>
  <si>
    <t>DME00044</t>
  </si>
  <si>
    <t>Zelfde 20T-pulley (DME00068) bruikbaar; aantal pulleys voor deze riem nog te bepalen</t>
  </si>
  <si>
    <t>Frame</t>
  </si>
  <si>
    <t>Aluminium profiel 20×20 B-type, sleuf 6 (geanodiseerd)</t>
  </si>
  <si>
    <t>Sleufbreedte 6 mm · sleufdiepte 5,5 mm · kern voor M6-draad · lengte 1980 mm × 4 st = 7,92 m</t>
  </si>
  <si>
    <t>m</t>
  </si>
  <si>
    <t>20x20 B-Typ Nut 6</t>
  </si>
  <si>
    <t>€ 4,07/m excl. = € 4,92/m incl. 21% btw (≈ € 9,74 per stuk van 1980 mm). Lengte 1980 mm = maximale standaardlengte, gratis op maat gezaagd bij bestelling. Aantal 4 stuks is een aanname.</t>
  </si>
  <si>
    <t>Kogellager 608 (8×22×7 mm)</t>
  </si>
  <si>
    <t>Pakket van 6 st; € 3,16 per pakket vanaf 2 pakketten (anders € 3,33)</t>
  </si>
  <si>
    <t>pak (6)</t>
  </si>
  <si>
    <t>1005011757424969</t>
  </si>
  <si>
    <t>12 lagers = 2 pakketten; levering 6–9 okt</t>
  </si>
  <si>
    <t>Sensoren</t>
  </si>
  <si>
    <t>Eindschakelaar micro-switch SPDT</t>
  </si>
  <si>
    <t>Pakket van 10 st · 12×6×6 mm · 1 A 125 V · kies hendelvariant</t>
  </si>
  <si>
    <t>pak (10)</t>
  </si>
  <si>
    <t>4000433828774</t>
  </si>
  <si>
    <t>3 nodig</t>
  </si>
  <si>
    <t>Elektronica</t>
  </si>
  <si>
    <t>Step-down module LM2596 (24 V → 5 V)</t>
  </si>
  <si>
    <t>Regelbaar 3–40 V → 1,5–35 V · voedt ESP32 via VIN</t>
  </si>
  <si>
    <t>Nieuw uit schema; zoek op productnaam</t>
  </si>
  <si>
    <t>Voeding</t>
  </si>
  <si>
    <t>Schakelende voeding LRS-350-24</t>
  </si>
  <si>
    <t>24 V · 14,6 A · 350 W · gesloten behuizing</t>
  </si>
  <si>
    <t>ASIN B0GG8RGRSR</t>
  </si>
  <si>
    <t>Merk JUNLIN; ingangsschakelaar op 230 V zetten</t>
  </si>
  <si>
    <t>Dosering &amp; bak</t>
  </si>
  <si>
    <t>Beslagdispenser RVS</t>
  </si>
  <si>
    <t>Ø13 × 20 cm · ± 600 ml · drukknop-dosering</t>
  </si>
  <si>
    <t>Toegekomen</t>
  </si>
  <si>
    <t>bol</t>
  </si>
  <si>
    <t>ZoeZo Design</t>
  </si>
  <si>
    <t>Pannenkoekenmaker 30 cm</t>
  </si>
  <si>
    <t>COSYLIFE CL-CR3 · 1400 W · thermostaat · Teflon</t>
  </si>
  <si>
    <t>Electro Depot</t>
  </si>
  <si>
    <t>CL-CR3</t>
  </si>
  <si>
    <t>Link noemt “High One HO-CR3”; pagina toont COSYLIFE</t>
  </si>
  <si>
    <t>Servo DS3218 Pro 20 kg (spatel flip)</t>
  </si>
  <si>
    <t>4,8–6,8 V · 18–21,5 kg·cm · waterdicht</t>
  </si>
  <si>
    <t>Vervalt?</t>
  </si>
  <si>
    <t>Spatel is nu een stappenmotor; niet op voorraad</t>
  </si>
  <si>
    <t>Totaal te bestellen (status “Te bestellen”)</t>
  </si>
  <si>
    <t>Extra voorstellen - nodig of handig voor het schema</t>
  </si>
  <si>
    <t>Alles hier staat niet in je oorspronkelijke lijst. Prioriteit: Nodig = zonder werkt het schema niet · Aanbevolen · Optioneel · Alternatief = in plaats van iets anders (niet in het totaal).</t>
  </si>
  <si>
    <t>Prioriteit</t>
  </si>
  <si>
    <t>Nodig</t>
  </si>
  <si>
    <t>Condensator elco 330 µF / 35 V radiaal</t>
  </si>
  <si>
    <t>Eén per DRV8825 over VMOT/GND (minimum 100 µF)</t>
  </si>
  <si>
    <t>330U/35RAD</t>
  </si>
  <si>
    <t>Link is de categoriepagina (referentie 330U/35RAD)</t>
  </si>
  <si>
    <t>Weerstandenset 600 st, 30 waarden, 1/4 W 1%</t>
  </si>
  <si>
    <t>Bevat 10 kΩ en 68 kΩ (R1 = 68 kΩ, R2 = R3 = 10 kΩ)</t>
  </si>
  <si>
    <t>set</t>
  </si>
  <si>
    <t>75 kΩ zit er niet in; schema gebruikt daarom 68 kΩ</t>
  </si>
  <si>
    <t>Female header 40 pins 2,54 mm</t>
  </si>
  <si>
    <t>Voor 8 driver-sockets van 1×8 (bijknippen)</t>
  </si>
  <si>
    <t>2 strips = 80 pins, nodig 64</t>
  </si>
  <si>
    <t>Bekabeling</t>
  </si>
  <si>
    <t>Silicone kabel 18 AWG rood</t>
  </si>
  <si>
    <t>255/0,05 · Ø4,5 mm · 24 V-verdeling</t>
  </si>
  <si>
    <t>Silicone kabel 18 AWG zwart</t>
  </si>
  <si>
    <t>Voor GND, zelfde serie als de rode</t>
  </si>
  <si>
    <t>Prijs niet bevestigd (zwart niet op de pagina gevonden); verwacht gelijk aan rood</t>
  </si>
  <si>
    <t>Adereindhulzen 0,75 mm² blauw (100 st)</t>
  </si>
  <si>
    <t>Voor de 18 AWG-kabel in schroefklemmen</t>
  </si>
  <si>
    <t>pak (100)</t>
  </si>
  <si>
    <t>Aanbevolen</t>
  </si>
  <si>
    <t>TE7508</t>
  </si>
  <si>
    <t>Krimptang apart nodig of met een tang aandrukken</t>
  </si>
  <si>
    <t>Soepele montagedraad 1 mm², 5 m zwart</t>
  </si>
  <si>
    <t>Voor de 230 V-kant (L en N), 1 mm²</t>
  </si>
  <si>
    <t>rol (5 m)</t>
  </si>
  <si>
    <t>MC1001</t>
  </si>
  <si>
    <t>Enkel zwart gevonden: markeer N met blauwe krimpkous of tape. PE (groen-geel) apart in de winkel kopen.</t>
  </si>
  <si>
    <t>Netsnoer Schuko → C13</t>
  </si>
  <si>
    <t>1,5 m, 3×0,75 mm²</t>
  </si>
  <si>
    <t>Hergebruik een oud pc-/monitor-netsnoer (C13), anders bij Allekabels of bol</t>
  </si>
  <si>
    <t>Lasklem WAGO 221-413, 3-voudig (10 st)</t>
  </si>
  <si>
    <t>0,2–4 mm² · 32 A · voor splitsen van 24 V en GND</t>
  </si>
  <si>
    <t>Optioneel</t>
  </si>
  <si>
    <t>221-413</t>
  </si>
  <si>
    <t>Levering uiterlijk 8 okt; alternatief: schroefklemmen</t>
  </si>
  <si>
    <t>Behuizing</t>
  </si>
  <si>
    <t>ABS-behuizing IP65 met doorzichtig deksel, 265 × 185 × 95 mm</t>
  </si>
  <si>
    <t>Voor voeding (215×115×30 mm), buck, drivers en 230 V-deel</t>
  </si>
  <si>
    <t>G378C</t>
  </si>
  <si>
    <t>In voorraad in Aalst en Hasselt. Kleinere 200×120 mm-kast is te kort voor de voeding.</t>
  </si>
  <si>
    <t>ESP32-S breakout met schroefterminals, 38 pins</t>
  </si>
  <si>
    <t>Voor bekabeling tot de eigen PCB er is</t>
  </si>
  <si>
    <t>50 op voorraad</t>
  </si>
  <si>
    <t>T-sleuf hamermoer B-type sleuf 6, M5</t>
  </si>
  <si>
    <t>Metaal · draait 90° bij vastdraaien · past in sleuf 6 van het 20×20 profiel</t>
  </si>
  <si>
    <t>S6BHASNM5</t>
  </si>
  <si>
    <t>€ 0,16 + € 0,28 stuktoeslag excl. = € 0,53 incl. btw per stuk (aanname: toeslag per stuk). Pak van 100 st: € 18,82 incl.</t>
  </si>
  <si>
    <t>Metaalschroef inbus M5 × 10 mm verzinkt (50 st)</t>
  </si>
  <si>
    <t>Bij de hamermoeren M5 (20 nodig)</t>
  </si>
  <si>
    <t>pak (50)</t>
  </si>
  <si>
    <t>DBM00061</t>
  </si>
  <si>
    <t>Lageras voor 608-lagers (M8-bout)</t>
  </si>
  <si>
    <t>Hamerschroef M8 past niet in sleuf 6 (20×20 profiel)</t>
  </si>
  <si>
    <t>Alternatief</t>
  </si>
  <si>
    <t>Vervalt: lagers via 3D-geprinte houder + M8-bout bevestigen; type en aantal nog te bepalen</t>
  </si>
  <si>
    <t>Mechanica</t>
  </si>
  <si>
    <t>Metaalschroef inbus M3 × 10 mm verzinkt (50 st)</t>
  </si>
  <si>
    <t>Motorbevestiging (4 per motor) en klemmen</t>
  </si>
  <si>
    <t>DBM00042</t>
  </si>
  <si>
    <t>M3-moeren erbij kopen indien niet in de print</t>
  </si>
  <si>
    <t>Binnenhoek 20 B-type sleuf 6, M5 (pak van 10)</t>
  </si>
  <si>
    <t>Verzinkt spuitgietzink · 2 stalen schroeven M5×6 meegeleverd · interne montage</t>
  </si>
  <si>
    <t>S6BIBM5</t>
  </si>
  <si>
    <t>€ 5,17 excl. = € 6,26 incl. btw per 10 st (€ 0,52/st). Vervangt de 3D-geprinte hoeken; 8 nodig, 2 reserve.</t>
  </si>
  <si>
    <t>Totaal Nodig (met prijs)</t>
  </si>
  <si>
    <t>Totaal Aanbevolen (met prijs)</t>
  </si>
  <si>
    <t>Totaal Optioneel (met prijs)</t>
  </si>
  <si>
    <t>Alternatief (niet meegeteld)</t>
  </si>
  <si>
    <t>Enige regel zonder prijs: netsnoer Schuko → C13 (hergebruik een oud pc-netsnoer). Die zit niet in de totalen.</t>
  </si>
  <si>
    <t>3D-prints</t>
  </si>
  <si>
    <t>Blauwe cellen zijn invoer. Gewicht, tijd en filamentkost rekenen automatisch mee met het aantal. Aantallen zijn aannames tot je frame vaststaat.</t>
  </si>
  <si>
    <t>Onderdeel</t>
  </si>
  <si>
    <t>Model (link)</t>
  </si>
  <si>
    <t>Profiel / maat</t>
  </si>
  <si>
    <t>Materiaal</t>
  </si>
  <si>
    <t>Instellingen</t>
  </si>
  <si>
    <t>Gewicht per stuk (g)</t>
  </si>
  <si>
    <t>Printtijd per stuk (min)</t>
  </si>
  <si>
    <t>Totaal gewicht (g)</t>
  </si>
  <si>
    <t>Totale tijd (uur)</t>
  </si>
  <si>
    <t>Hoekverbinder “bracket 4040”</t>
  </si>
  <si>
    <t>40×40 · I-type groef 8</t>
  </si>
  <si>
    <t>PETG</t>
  </si>
  <si>
    <t>laag 0,28 mm · 3 wanden · 15% vulling</t>
  </si>
  <si>
    <t>Vervalt</t>
  </si>
  <si>
    <t>Voor 40×40 profiel; vervalt door de overstap naar 20×20 (metalen binnenhoeken van Motedis in tabblad Extra voorstellen).</t>
  </si>
  <si>
    <t>Hoekverbinder “Angle Slot 10 with Guide”</t>
  </si>
  <si>
    <t>40×40 · groef 10 (type B)</t>
  </si>
  <si>
    <t>laag 0,2 mm · 3 wanden · 25% vulling</t>
  </si>
  <si>
    <t>Voor 40×40 profiel met groef 10; vervalt door de overstap naar 20×20.</t>
  </si>
  <si>
    <t>Riemklem GT2 (open riem)</t>
  </si>
  <si>
    <t>6 mm en 10 mm riem</t>
  </si>
  <si>
    <t>PETG of PLA</t>
  </si>
  <si>
    <t>ontwerper: PLA, 205 °C</t>
  </si>
  <si>
    <t>Gebruiken</t>
  </si>
  <si>
    <t>Voor de open 9 mm riem: kies de 10 mm variant. Aantal 4 = 2 banden × 2 uiteinden (aanname). Gewicht en tijd niet vermeld.</t>
  </si>
  <si>
    <t>Totaal te printen (status Gebruiken)</t>
  </si>
  <si>
    <t>Filament</t>
  </si>
  <si>
    <t>PETG filament mat zwart 1,75 mm, 1 kg</t>
  </si>
  <si>
    <t>Webshop / artikelnr.</t>
  </si>
  <si>
    <t>123-3D · DHM00249</t>
  </si>
  <si>
    <t>Prijs per spoel (€, incl. btw)</t>
  </si>
  <si>
    <t>Aandeel in deze prints (€)</t>
  </si>
  <si>
    <t>Spoelen nodig (afgerond naar boven)</t>
  </si>
  <si>
    <t>Heb je al PETG of PLA liggen? Dan kan de spoel vervallen. Riemklem-gewicht ontbreekt in het model, dus wordt niet meegeteld.</t>
  </si>
  <si>
    <t>GT2 tandriem 9 mm, 5m</t>
  </si>
  <si>
    <t>https://www.123-3d.nl/123-3D-GT2-Pulley-hoge-resolutie-9-mm-riem-60-tanden-8-mm-as-i2573.html</t>
  </si>
  <si>
    <t>GT2 Pulley hoge resolutie | 9 mm riem | 60 tanden | 8 mm as</t>
  </si>
  <si>
    <t xml:space="preserve"> https://www.123-3d.nl/123-3D-Stappenmotor-kabel-4-draads-50-cm-i2208.html </t>
  </si>
  <si>
    <t>https://www.motedis.be/nl/Aluminium-profiel-20x20-B-type-sleuf-6</t>
  </si>
  <si>
    <t>https://www.interlager.nl/608-2rs-kogellager-8x22x7-mm</t>
  </si>
  <si>
    <t>interlager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</si>
</sst>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 &quot;#,##0.00;&quot;-€ &quot;#,##0.00;\-"/>
    <numFmt numFmtId="165" formatCode="0.0"/>
  </numFmts>
  <fonts count="18" x14ac:knownFonts="1">
    <font>
      <sz val="11"/>
      <color theme="1"/>
      <name val="Calibri"/>
      <family val="2"/>
      <charset val="1"/>
    </font>
    <font>
      <b/>
      <sz val="16"/>
      <color rgb="FF1C3D5A"/>
      <name val="Arial"/>
      <charset val="1"/>
    </font>
    <font>
      <i/>
      <sz val="9"/>
      <color rgb="FF64748B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u/>
      <sz val="10"/>
      <color rgb="FF1C7ED6"/>
      <name val="Arial"/>
      <charset val="1"/>
    </font>
    <font>
      <sz val="10"/>
      <color rgb="FFD9480F"/>
      <name val="Arial"/>
      <charset val="1"/>
    </font>
    <font>
      <b/>
      <sz val="11"/>
      <name val="Arial"/>
      <charset val="1"/>
    </font>
    <font>
      <i/>
      <sz val="9"/>
      <color rgb="FFD9480F"/>
      <name val="Arial"/>
      <charset val="1"/>
    </font>
    <font>
      <b/>
      <sz val="11"/>
      <color rgb="FF1C3D5A"/>
      <name val="Arial"/>
      <charset val="1"/>
    </font>
    <font>
      <sz val="10"/>
      <color rgb="FF000000"/>
      <name val="Arial"/>
      <charset val="1"/>
    </font>
    <font>
      <u/>
      <sz val="11"/>
      <color theme="10"/>
      <name val="Calibri"/>
      <family val="2"/>
      <charset val="1"/>
    </font>
    <font>
      <b/>
      <sz val="7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C3D5A"/>
        <bgColor rgb="FF1E3A8A"/>
      </patternFill>
    </fill>
    <fill>
      <patternFill patternType="solid">
        <fgColor rgb="FFDBEAFE"/>
        <bgColor rgb="FFF1F3F5"/>
      </patternFill>
    </fill>
    <fill>
      <patternFill patternType="solid">
        <fgColor rgb="FFF1F5F9"/>
        <bgColor rgb="FFF1F3F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5" fillId="3" borderId="0" xfId="0" applyFont="1" applyFill="1"/>
    <xf numFmtId="0" fontId="0" fillId="3" borderId="0" xfId="0" applyFill="1"/>
    <xf numFmtId="164" fontId="9" fillId="3" borderId="0" xfId="0" applyNumberFormat="1" applyFont="1" applyFill="1"/>
    <xf numFmtId="0" fontId="5" fillId="4" borderId="0" xfId="0" applyFont="1" applyFill="1"/>
    <xf numFmtId="0" fontId="0" fillId="4" borderId="0" xfId="0" applyFill="1"/>
    <xf numFmtId="164" fontId="5" fillId="4" borderId="0" xfId="0" applyNumberFormat="1" applyFont="1" applyFill="1"/>
    <xf numFmtId="0" fontId="10" fillId="0" borderId="0" xfId="0" applyFont="1"/>
    <xf numFmtId="3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0" fontId="11" fillId="0" borderId="0" xfId="0" applyFont="1"/>
    <xf numFmtId="0" fontId="4" fillId="0" borderId="0" xfId="0" applyFont="1"/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164" fontId="12" fillId="0" borderId="0" xfId="0" applyNumberFormat="1" applyFont="1" applyAlignment="1">
      <alignment horizontal="left"/>
    </xf>
    <xf numFmtId="1" fontId="12" fillId="0" borderId="0" xfId="0" applyNumberFormat="1" applyFont="1" applyAlignment="1">
      <alignment horizontal="left"/>
    </xf>
    <xf numFmtId="0" fontId="5" fillId="5" borderId="1" xfId="0" applyFont="1" applyFill="1" applyBorder="1" applyAlignment="1">
      <alignment vertical="center" wrapText="1"/>
    </xf>
    <xf numFmtId="0" fontId="13" fillId="0" borderId="0" xfId="1"/>
    <xf numFmtId="0" fontId="14" fillId="5" borderId="0" xfId="0" applyFont="1" applyFill="1" applyAlignment="1">
      <alignment horizontal="left" vertical="center" wrapText="1" inden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vertical="center" wrapText="1"/>
    </xf>
  </cellXfs>
  <cellStyles count="2">
    <cellStyle name="Hyperlink" xfId="1" builtinId="8"/>
    <cellStyle name="Standaard" xfId="0" builtinId="0"/>
  </cellStyles>
  <dxfs count="10">
    <dxf>
      <font>
        <b/>
        <color rgb="FFC92A2A"/>
        <name val="Arial"/>
        <charset val="1"/>
      </font>
      <fill>
        <patternFill>
          <bgColor rgb="FFFFE3E3"/>
        </patternFill>
      </fill>
    </dxf>
    <dxf>
      <font>
        <b/>
        <color rgb="FF2B8A3E"/>
        <name val="Arial"/>
        <charset val="1"/>
      </font>
      <fill>
        <patternFill>
          <bgColor rgb="FFD3F9D8"/>
        </patternFill>
      </fill>
    </dxf>
    <dxf>
      <font>
        <b/>
        <color rgb="FFD9480F"/>
        <name val="Arial"/>
        <charset val="1"/>
      </font>
      <fill>
        <patternFill>
          <bgColor rgb="FFFFF4E6"/>
        </patternFill>
      </fill>
    </dxf>
    <dxf>
      <font>
        <b/>
        <color rgb="FF495057"/>
        <name val="Arial"/>
        <charset val="1"/>
      </font>
      <fill>
        <patternFill>
          <bgColor rgb="FFF1F3F5"/>
        </patternFill>
      </fill>
    </dxf>
    <dxf>
      <font>
        <b/>
        <color rgb="FF1E3A8A"/>
        <name val="Arial"/>
        <charset val="1"/>
      </font>
      <fill>
        <patternFill>
          <bgColor rgb="FFDBEAFE"/>
        </patternFill>
      </fill>
    </dxf>
    <dxf>
      <font>
        <b/>
        <color rgb="FFC92A2A"/>
        <name val="Arial"/>
        <charset val="1"/>
      </font>
      <fill>
        <patternFill>
          <bgColor rgb="FFFFE3E3"/>
        </patternFill>
      </fill>
    </dxf>
    <dxf>
      <font>
        <b/>
        <color rgb="FFD9480F"/>
        <name val="Arial"/>
        <charset val="1"/>
      </font>
      <fill>
        <patternFill>
          <bgColor rgb="FFFFF4E6"/>
        </patternFill>
      </fill>
    </dxf>
    <dxf>
      <font>
        <b/>
        <color rgb="FFC92A2A"/>
        <name val="Arial"/>
        <charset val="1"/>
      </font>
      <fill>
        <patternFill>
          <bgColor rgb="FFFFE3E3"/>
        </patternFill>
      </fill>
    </dxf>
    <dxf>
      <font>
        <b/>
        <color rgb="FF2B8A3E"/>
        <name val="Arial"/>
        <charset val="1"/>
      </font>
      <fill>
        <patternFill>
          <bgColor rgb="FFD3F9D8"/>
        </patternFill>
      </fill>
    </dxf>
    <dxf>
      <font>
        <b/>
        <color rgb="FF1E3A8A"/>
        <name val="Arial"/>
        <charset val="1"/>
      </font>
      <fill>
        <patternFill>
          <bgColor rgb="FFDBEAF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E6"/>
      <rgbColor rgb="FFDBEAFE"/>
      <rgbColor rgb="FF660066"/>
      <rgbColor rgb="FFFF8080"/>
      <rgbColor rgb="FF1C7ED6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3F9D8"/>
      <rgbColor rgb="FFF1F3F5"/>
      <rgbColor rgb="FF99CCFF"/>
      <rgbColor rgb="FFFF99CC"/>
      <rgbColor rgb="FFCC99FF"/>
      <rgbColor rgb="FFFFE3E3"/>
      <rgbColor rgb="FF3366FF"/>
      <rgbColor rgb="FF33CCCC"/>
      <rgbColor rgb="FF99CC00"/>
      <rgbColor rgb="FFFFCC00"/>
      <rgbColor rgb="FFFF9900"/>
      <rgbColor rgb="FFD9480F"/>
      <rgbColor rgb="FF64748B"/>
      <rgbColor rgb="FF969696"/>
      <rgbColor rgb="FF1C3D5A"/>
      <rgbColor rgb="FF2B8A3E"/>
      <rgbColor rgb="FF003300"/>
      <rgbColor rgb="FF333300"/>
      <rgbColor rgb="FFC92A2A"/>
      <rgbColor rgb="FF993366"/>
      <rgbColor rgb="FF1E3A8A"/>
      <rgbColor rgb="FF495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l.aliexpress.com/item/4000433828774.html" TargetMode="External"/><Relationship Id="rId13" Type="http://schemas.openxmlformats.org/officeDocument/2006/relationships/hyperlink" Target="https://www.123-3d.nl/123-3D-GT2-Pulley-hoge-resolutie-9-mm-riem-60-tanden-8-mm-as-i2573.html" TargetMode="External"/><Relationship Id="rId3" Type="http://schemas.openxmlformats.org/officeDocument/2006/relationships/hyperlink" Target="https://www.123-3d.nl/123-3D-GT2-Pulley-hoge-resolutie-9-mm-riem-20-tanden-5-mm-as-i2305.html" TargetMode="External"/><Relationship Id="rId7" Type="http://schemas.openxmlformats.org/officeDocument/2006/relationships/hyperlink" Target="https://www.motedis.be/nl/Aluminium-profiel-20x20-B-type-sleuf-6" TargetMode="External"/><Relationship Id="rId12" Type="http://schemas.openxmlformats.org/officeDocument/2006/relationships/hyperlink" Target="https://www.rcmotorsports.nl/products/ds-servo-ds3218-pro-waterproof-high-speed-digital-servo-20kg" TargetMode="External"/><Relationship Id="rId2" Type="http://schemas.openxmlformats.org/officeDocument/2006/relationships/hyperlink" Target="https://www.123-3d.nl/123-3D-Stepstick-DRV8825-driver-aanbieding-4-x-Stepstick-4-x-koelblokjes-i2507.html" TargetMode="External"/><Relationship Id="rId1" Type="http://schemas.openxmlformats.org/officeDocument/2006/relationships/hyperlink" Target="https://www.123-3d.nl/123-3D-NEMA17-stappenmotor-1-8-graden-per-stap-40-mm-lang-4-08-kg-cm-SL42S240A105-0524-i3421.html" TargetMode="External"/><Relationship Id="rId6" Type="http://schemas.openxmlformats.org/officeDocument/2006/relationships/hyperlink" Target="https://www.123-3d.nl/123-3D-GT2-timing-belt-6-mm-gesloten-200-mm-i1704.html" TargetMode="External"/><Relationship Id="rId11" Type="http://schemas.openxmlformats.org/officeDocument/2006/relationships/hyperlink" Target="https://www.electrodepot.be/nl/pannenkoekmaker-high-one-ho-cr3.html" TargetMode="External"/><Relationship Id="rId5" Type="http://schemas.openxmlformats.org/officeDocument/2006/relationships/hyperlink" Target="https://www.123-3d.nl/123-3D-GT2-timing-belt-9-mm-2-5-meter-i6550.html" TargetMode="External"/><Relationship Id="rId10" Type="http://schemas.openxmlformats.org/officeDocument/2006/relationships/hyperlink" Target="https://www.bol.com/be/nl/p/zoezo-design-beslagdispenser-rvs-deeg-dispenser-o13x20-cm-giettrechter-voor-beslag-cupcakes-pannenkoeken-muffins-vaatwasserbestendig-batter-dosering/9300000234314007/" TargetMode="External"/><Relationship Id="rId4" Type="http://schemas.openxmlformats.org/officeDocument/2006/relationships/hyperlink" Target="https://www.123-3d.nl/123-3D-GT2-Pulley-hoge-resolutie-met-lager-9-mm-riem-5-mm-as-i2308.html" TargetMode="External"/><Relationship Id="rId9" Type="http://schemas.openxmlformats.org/officeDocument/2006/relationships/hyperlink" Target="https://www.amazon.nl/dp/B0GG8RGRS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l.com/be/nl/p/wago-lasklem-3-voudig-221-413/9300000009222062/" TargetMode="External"/><Relationship Id="rId13" Type="http://schemas.openxmlformats.org/officeDocument/2006/relationships/hyperlink" Target="https://www.123-3d.nl/123-3D-Metaalschroef-inbus-M3x10-mm-cilinderkop-verzinkt-50-stuks-i1172.html" TargetMode="External"/><Relationship Id="rId3" Type="http://schemas.openxmlformats.org/officeDocument/2006/relationships/hyperlink" Target="https://www.otronic.nl/nl/40-pins-header-female-254mm.html" TargetMode="External"/><Relationship Id="rId7" Type="http://schemas.openxmlformats.org/officeDocument/2006/relationships/hyperlink" Target="https://www.gotron.be/soepele-montagedraad-5m-zwart-1mm.html" TargetMode="External"/><Relationship Id="rId12" Type="http://schemas.openxmlformats.org/officeDocument/2006/relationships/hyperlink" Target="https://www.123-3d.nl/123-3D-Metaalschroef-inbus-M5x10-mm-cilinderkop-verzinkt-50-stuks-i1191.html" TargetMode="External"/><Relationship Id="rId2" Type="http://schemas.openxmlformats.org/officeDocument/2006/relationships/hyperlink" Target="https://www.otronic.nl/nl/600-weerstanden-set-30-soorten-1-4-watt-1.html" TargetMode="External"/><Relationship Id="rId1" Type="http://schemas.openxmlformats.org/officeDocument/2006/relationships/hyperlink" Target="https://www.gotron.be/componenten/passief/condensatoren/radiale-elco-10v-100v.html" TargetMode="External"/><Relationship Id="rId6" Type="http://schemas.openxmlformats.org/officeDocument/2006/relationships/hyperlink" Target="https://www.gotron.be/componenten/connectoren/kabelschoenen/eindhulzen/eindhulzen-0-75mm-blauw-100-stuks.html" TargetMode="External"/><Relationship Id="rId11" Type="http://schemas.openxmlformats.org/officeDocument/2006/relationships/hyperlink" Target="https://www.motedis.be/nl/T-sleuf-hamer-moer-B-type-sleuf-6-M5" TargetMode="External"/><Relationship Id="rId5" Type="http://schemas.openxmlformats.org/officeDocument/2006/relationships/hyperlink" Target="https://www.rcmotorsports.nl/products/silicone-kabel-18awg-rood-1-meter-kopie" TargetMode="External"/><Relationship Id="rId10" Type="http://schemas.openxmlformats.org/officeDocument/2006/relationships/hyperlink" Target="https://www.otronic.nl/nl/breakout-board-voor-esp32-s-38-pins.html" TargetMode="External"/><Relationship Id="rId4" Type="http://schemas.openxmlformats.org/officeDocument/2006/relationships/hyperlink" Target="https://www.rcmotorsports.nl/products/silicone-kabel-18awg-rood-1-meter-kopie" TargetMode="External"/><Relationship Id="rId9" Type="http://schemas.openxmlformats.org/officeDocument/2006/relationships/hyperlink" Target="https://www.gotron.be/waterbestendige-abs-met-doorzichtig-deksel-265x185x95mm.html" TargetMode="External"/><Relationship Id="rId14" Type="http://schemas.openxmlformats.org/officeDocument/2006/relationships/hyperlink" Target="https://www.motedis.be/nl/Interne-hoek-20-B-type-sleuf-6-M5-Alternativ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intables.com/model/816496-gt2-belt-clamps" TargetMode="External"/><Relationship Id="rId2" Type="http://schemas.openxmlformats.org/officeDocument/2006/relationships/hyperlink" Target="https://makerworld.com/nl/models/2376384-40x40-angle-slot-10-with-guide" TargetMode="External"/><Relationship Id="rId1" Type="http://schemas.openxmlformats.org/officeDocument/2006/relationships/hyperlink" Target="https://makerworld.com/en/models/1677812-bracket-4040-bracket-for-4040-profiles" TargetMode="External"/><Relationship Id="rId4" Type="http://schemas.openxmlformats.org/officeDocument/2006/relationships/hyperlink" Target="https://www.123-3d.nl/123-3D-Filament-PETG-Mat-Zwart-1-75-mm-1-kg-DFS10112c-i1217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5"/>
  <sheetViews>
    <sheetView tabSelected="1" zoomScale="70" zoomScaleNormal="7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7" sqref="C27"/>
    </sheetView>
  </sheetViews>
  <sheetFormatPr defaultColWidth="8.7109375" defaultRowHeight="15" x14ac:dyDescent="0.25"/>
  <cols>
    <col min="1" max="1" width="5" customWidth="1"/>
    <col min="2" max="2" width="18" customWidth="1"/>
    <col min="3" max="3" width="46" customWidth="1"/>
    <col min="4" max="4" width="52" customWidth="1"/>
    <col min="5" max="5" width="9" customWidth="1"/>
    <col min="6" max="6" width="10" customWidth="1"/>
    <col min="7" max="7" width="16" customWidth="1"/>
    <col min="8" max="8" width="13" customWidth="1"/>
    <col min="9" max="9" width="16" customWidth="1"/>
    <col min="10" max="10" width="15" customWidth="1"/>
    <col min="11" max="11" width="18" customWidth="1"/>
    <col min="12" max="12" width="9" customWidth="1"/>
    <col min="13" max="13" width="60" customWidth="1"/>
  </cols>
  <sheetData>
    <row r="1" spans="1:13" ht="20.25" x14ac:dyDescent="0.3">
      <c r="A1" s="1" t="s">
        <v>9</v>
      </c>
    </row>
    <row r="2" spans="1:13" x14ac:dyDescent="0.25">
      <c r="A2" s="2" t="s">
        <v>10</v>
      </c>
    </row>
    <row r="4" spans="1:13" ht="33.75" customHeight="1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0</v>
      </c>
      <c r="I4" s="4" t="s">
        <v>18</v>
      </c>
      <c r="J4" s="4" t="s">
        <v>19</v>
      </c>
      <c r="K4" s="4" t="s">
        <v>20</v>
      </c>
      <c r="L4" s="4" t="s">
        <v>21</v>
      </c>
      <c r="M4" s="4" t="s">
        <v>22</v>
      </c>
    </row>
    <row r="5" spans="1:13" ht="25.5" x14ac:dyDescent="0.25">
      <c r="A5" s="3">
        <v>1</v>
      </c>
      <c r="B5" s="5" t="s">
        <v>23</v>
      </c>
      <c r="C5" s="31" t="s">
        <v>24</v>
      </c>
      <c r="D5" s="7" t="s">
        <v>25</v>
      </c>
      <c r="E5" s="8">
        <v>4</v>
      </c>
      <c r="F5" s="3" t="s">
        <v>26</v>
      </c>
      <c r="G5" s="9">
        <v>13.5</v>
      </c>
      <c r="H5" s="10">
        <f t="shared" ref="H5:H23" si="0">IF(G5="","",E5*G5)</f>
        <v>54</v>
      </c>
      <c r="I5" s="3" t="s">
        <v>27</v>
      </c>
      <c r="J5" s="5" t="s">
        <v>1</v>
      </c>
      <c r="K5" s="5" t="s">
        <v>28</v>
      </c>
      <c r="L5" s="11" t="s">
        <v>29</v>
      </c>
      <c r="M5" s="7"/>
    </row>
    <row r="6" spans="1:13" x14ac:dyDescent="0.25">
      <c r="A6" s="3"/>
      <c r="B6" s="5"/>
      <c r="C6" s="6"/>
      <c r="D6" s="7"/>
      <c r="E6" s="8"/>
      <c r="F6" s="3"/>
      <c r="G6" s="9"/>
      <c r="H6" s="10" t="str">
        <f t="shared" si="0"/>
        <v/>
      </c>
      <c r="I6" s="3" t="s">
        <v>30</v>
      </c>
      <c r="J6" s="5" t="s">
        <v>31</v>
      </c>
      <c r="K6" s="5" t="s">
        <v>31</v>
      </c>
      <c r="L6" s="3" t="s">
        <v>31</v>
      </c>
      <c r="M6" s="12" t="s">
        <v>32</v>
      </c>
    </row>
    <row r="7" spans="1:13" ht="25.5" x14ac:dyDescent="0.25">
      <c r="A7" s="3">
        <v>3</v>
      </c>
      <c r="B7" s="5" t="s">
        <v>23</v>
      </c>
      <c r="C7" s="31" t="s">
        <v>33</v>
      </c>
      <c r="D7" s="7" t="s">
        <v>34</v>
      </c>
      <c r="E7" s="8">
        <v>1</v>
      </c>
      <c r="F7" s="3" t="s">
        <v>35</v>
      </c>
      <c r="G7" s="9">
        <v>22</v>
      </c>
      <c r="H7" s="10">
        <f t="shared" si="0"/>
        <v>22</v>
      </c>
      <c r="I7" s="3" t="s">
        <v>27</v>
      </c>
      <c r="J7" s="5" t="s">
        <v>1</v>
      </c>
      <c r="K7" s="5" t="s">
        <v>36</v>
      </c>
      <c r="L7" s="11" t="s">
        <v>29</v>
      </c>
      <c r="M7" s="7" t="s">
        <v>37</v>
      </c>
    </row>
    <row r="8" spans="1:13" x14ac:dyDescent="0.25">
      <c r="A8" s="3">
        <v>4</v>
      </c>
      <c r="B8" s="5" t="s">
        <v>23</v>
      </c>
      <c r="C8" s="31" t="s">
        <v>38</v>
      </c>
      <c r="D8" s="7" t="s">
        <v>39</v>
      </c>
      <c r="E8" s="8">
        <v>4</v>
      </c>
      <c r="F8" s="3" t="s">
        <v>26</v>
      </c>
      <c r="G8" s="9">
        <v>2.25</v>
      </c>
      <c r="H8" s="10">
        <f t="shared" si="0"/>
        <v>9</v>
      </c>
      <c r="I8" s="3" t="s">
        <v>27</v>
      </c>
      <c r="J8" s="5" t="s">
        <v>1</v>
      </c>
      <c r="K8" s="5" t="s">
        <v>31</v>
      </c>
      <c r="L8" s="34" t="s">
        <v>211</v>
      </c>
      <c r="M8" s="7" t="s">
        <v>40</v>
      </c>
    </row>
    <row r="9" spans="1:13" ht="18" x14ac:dyDescent="0.25">
      <c r="A9" s="3"/>
      <c r="B9" s="5"/>
      <c r="C9" s="33" t="s">
        <v>210</v>
      </c>
      <c r="D9" s="7"/>
      <c r="E9" s="8">
        <v>1</v>
      </c>
      <c r="F9" s="32" t="s">
        <v>209</v>
      </c>
      <c r="G9" s="9"/>
      <c r="H9" s="10"/>
      <c r="I9" s="3"/>
      <c r="J9" s="5"/>
      <c r="K9" s="5"/>
      <c r="L9" s="3"/>
      <c r="M9" s="7"/>
    </row>
    <row r="10" spans="1:13" ht="25.5" x14ac:dyDescent="0.25">
      <c r="A10" s="3">
        <v>5</v>
      </c>
      <c r="B10" s="5" t="s">
        <v>23</v>
      </c>
      <c r="C10" s="31" t="s">
        <v>41</v>
      </c>
      <c r="D10" s="7" t="s">
        <v>42</v>
      </c>
      <c r="E10" s="8">
        <v>3</v>
      </c>
      <c r="F10" s="3" t="s">
        <v>26</v>
      </c>
      <c r="G10" s="9">
        <v>6</v>
      </c>
      <c r="H10" s="10">
        <f t="shared" si="0"/>
        <v>18</v>
      </c>
      <c r="I10" s="3" t="s">
        <v>27</v>
      </c>
      <c r="J10" s="5" t="s">
        <v>1</v>
      </c>
      <c r="K10" s="5" t="s">
        <v>43</v>
      </c>
      <c r="L10" s="11" t="s">
        <v>29</v>
      </c>
      <c r="M10" s="7" t="s">
        <v>44</v>
      </c>
    </row>
    <row r="11" spans="1:13" x14ac:dyDescent="0.25">
      <c r="A11" s="3">
        <v>6</v>
      </c>
      <c r="B11" s="5" t="s">
        <v>23</v>
      </c>
      <c r="C11" s="31" t="s">
        <v>45</v>
      </c>
      <c r="D11" s="7" t="s">
        <v>46</v>
      </c>
      <c r="E11" s="8">
        <v>2</v>
      </c>
      <c r="F11" s="3" t="s">
        <v>26</v>
      </c>
      <c r="G11" s="9">
        <v>5.5</v>
      </c>
      <c r="H11" s="10">
        <f t="shared" si="0"/>
        <v>11</v>
      </c>
      <c r="I11" s="3" t="s">
        <v>27</v>
      </c>
      <c r="J11" s="5" t="s">
        <v>1</v>
      </c>
      <c r="K11" s="5" t="s">
        <v>47</v>
      </c>
      <c r="L11" s="11" t="s">
        <v>29</v>
      </c>
      <c r="M11" s="7" t="s">
        <v>48</v>
      </c>
    </row>
    <row r="12" spans="1:13" x14ac:dyDescent="0.25">
      <c r="A12" s="3">
        <v>7</v>
      </c>
      <c r="B12" s="5" t="s">
        <v>23</v>
      </c>
      <c r="C12" s="31" t="s">
        <v>208</v>
      </c>
      <c r="D12" s="7" t="s">
        <v>49</v>
      </c>
      <c r="E12" s="8">
        <v>1</v>
      </c>
      <c r="F12" s="3" t="s">
        <v>26</v>
      </c>
      <c r="G12" s="9">
        <v>14.5</v>
      </c>
      <c r="H12" s="10">
        <f t="shared" si="0"/>
        <v>14.5</v>
      </c>
      <c r="I12" s="3" t="s">
        <v>27</v>
      </c>
      <c r="J12" s="5" t="s">
        <v>1</v>
      </c>
      <c r="K12" s="5" t="s">
        <v>50</v>
      </c>
      <c r="L12" s="11" t="s">
        <v>29</v>
      </c>
      <c r="M12" s="7" t="s">
        <v>51</v>
      </c>
    </row>
    <row r="13" spans="1:13" ht="25.5" x14ac:dyDescent="0.25">
      <c r="A13" s="3">
        <v>8</v>
      </c>
      <c r="B13" s="5" t="s">
        <v>23</v>
      </c>
      <c r="C13" s="31" t="s">
        <v>52</v>
      </c>
      <c r="D13" s="7" t="s">
        <v>53</v>
      </c>
      <c r="E13" s="8">
        <v>1</v>
      </c>
      <c r="F13" s="3" t="s">
        <v>26</v>
      </c>
      <c r="G13" s="9">
        <v>3.5</v>
      </c>
      <c r="H13" s="10">
        <f t="shared" si="0"/>
        <v>3.5</v>
      </c>
      <c r="I13" s="3" t="s">
        <v>27</v>
      </c>
      <c r="J13" s="5" t="s">
        <v>1</v>
      </c>
      <c r="K13" s="5" t="s">
        <v>54</v>
      </c>
      <c r="L13" s="11" t="s">
        <v>29</v>
      </c>
      <c r="M13" s="7" t="s">
        <v>55</v>
      </c>
    </row>
    <row r="14" spans="1:13" ht="38.25" x14ac:dyDescent="0.25">
      <c r="A14" s="3">
        <v>9</v>
      </c>
      <c r="B14" s="5" t="s">
        <v>56</v>
      </c>
      <c r="C14" s="31" t="s">
        <v>57</v>
      </c>
      <c r="D14" s="7" t="s">
        <v>58</v>
      </c>
      <c r="E14" s="8">
        <v>7.92</v>
      </c>
      <c r="F14" s="3" t="s">
        <v>59</v>
      </c>
      <c r="G14" s="9">
        <v>4.92</v>
      </c>
      <c r="H14" s="10">
        <f t="shared" si="0"/>
        <v>38.9664</v>
      </c>
      <c r="I14" s="3" t="s">
        <v>27</v>
      </c>
      <c r="J14" s="5" t="s">
        <v>212</v>
      </c>
      <c r="K14" s="5" t="s">
        <v>60</v>
      </c>
      <c r="L14" s="11" t="s">
        <v>29</v>
      </c>
      <c r="M14" s="7" t="s">
        <v>61</v>
      </c>
    </row>
    <row r="15" spans="1:13" ht="25.5" x14ac:dyDescent="0.25">
      <c r="A15" s="3">
        <v>10</v>
      </c>
      <c r="B15" s="5" t="s">
        <v>56</v>
      </c>
      <c r="C15" s="31" t="s">
        <v>62</v>
      </c>
      <c r="D15" s="7" t="s">
        <v>63</v>
      </c>
      <c r="E15" s="8">
        <v>14</v>
      </c>
      <c r="F15" s="3" t="s">
        <v>64</v>
      </c>
      <c r="G15" s="9">
        <v>3.16</v>
      </c>
      <c r="H15" s="10">
        <f t="shared" si="0"/>
        <v>44.24</v>
      </c>
      <c r="I15" s="3" t="s">
        <v>27</v>
      </c>
      <c r="J15" s="5" t="s">
        <v>214</v>
      </c>
      <c r="K15" s="5" t="s">
        <v>65</v>
      </c>
      <c r="L15" s="11" t="s">
        <v>213</v>
      </c>
      <c r="M15" s="7" t="s">
        <v>66</v>
      </c>
    </row>
    <row r="16" spans="1:13" ht="25.5" x14ac:dyDescent="0.25">
      <c r="A16" s="3">
        <v>11</v>
      </c>
      <c r="B16" s="5" t="s">
        <v>67</v>
      </c>
      <c r="C16" s="6" t="s">
        <v>68</v>
      </c>
      <c r="D16" s="7" t="s">
        <v>69</v>
      </c>
      <c r="E16" s="8">
        <v>1</v>
      </c>
      <c r="F16" s="3" t="s">
        <v>70</v>
      </c>
      <c r="G16" s="9">
        <v>0.61</v>
      </c>
      <c r="H16" s="10">
        <f t="shared" si="0"/>
        <v>0.61</v>
      </c>
      <c r="I16" s="3" t="s">
        <v>27</v>
      </c>
      <c r="J16" s="5" t="s">
        <v>8</v>
      </c>
      <c r="K16" s="5" t="s">
        <v>71</v>
      </c>
      <c r="L16" s="11" t="s">
        <v>29</v>
      </c>
      <c r="M16" s="7" t="s">
        <v>72</v>
      </c>
    </row>
    <row r="17" spans="1:13" x14ac:dyDescent="0.25">
      <c r="A17" s="3">
        <v>12</v>
      </c>
      <c r="B17" s="5"/>
      <c r="C17" s="6"/>
      <c r="D17" s="7"/>
      <c r="E17" s="8"/>
      <c r="F17" s="3"/>
      <c r="G17" s="9"/>
      <c r="H17" s="10"/>
      <c r="I17" s="3"/>
      <c r="J17" s="5"/>
      <c r="K17" s="5"/>
      <c r="L17" s="11"/>
      <c r="M17" s="7"/>
    </row>
    <row r="18" spans="1:13" x14ac:dyDescent="0.25">
      <c r="A18" s="3"/>
      <c r="B18" s="5"/>
      <c r="C18" s="36"/>
      <c r="D18" s="35"/>
      <c r="E18" s="8"/>
      <c r="F18" s="3"/>
      <c r="G18" s="9"/>
      <c r="H18" s="10"/>
      <c r="I18" s="3"/>
      <c r="J18" s="5"/>
      <c r="K18" s="5"/>
      <c r="L18" s="11"/>
      <c r="M18" s="7"/>
    </row>
    <row r="19" spans="1:13" x14ac:dyDescent="0.25">
      <c r="A19" s="3">
        <v>13</v>
      </c>
      <c r="B19" s="5" t="s">
        <v>73</v>
      </c>
      <c r="C19" s="31" t="s">
        <v>74</v>
      </c>
      <c r="D19" s="7" t="s">
        <v>75</v>
      </c>
      <c r="E19" s="8">
        <v>1</v>
      </c>
      <c r="F19" s="3" t="s">
        <v>26</v>
      </c>
      <c r="G19" s="9">
        <v>2.2000000000000002</v>
      </c>
      <c r="H19" s="10">
        <f t="shared" si="0"/>
        <v>2.2000000000000002</v>
      </c>
      <c r="I19" s="3" t="s">
        <v>27</v>
      </c>
      <c r="J19" s="5" t="s">
        <v>5</v>
      </c>
      <c r="K19" s="5" t="s">
        <v>31</v>
      </c>
      <c r="L19" s="3" t="s">
        <v>31</v>
      </c>
      <c r="M19" s="7" t="s">
        <v>76</v>
      </c>
    </row>
    <row r="20" spans="1:13" x14ac:dyDescent="0.25">
      <c r="A20" s="3">
        <v>14</v>
      </c>
      <c r="B20" s="5" t="s">
        <v>77</v>
      </c>
      <c r="C20" s="36" t="s">
        <v>78</v>
      </c>
      <c r="D20" s="7" t="s">
        <v>79</v>
      </c>
      <c r="E20" s="8">
        <v>1</v>
      </c>
      <c r="F20" s="3" t="s">
        <v>26</v>
      </c>
      <c r="G20" s="9">
        <v>37.26</v>
      </c>
      <c r="H20" s="10">
        <f t="shared" si="0"/>
        <v>37.26</v>
      </c>
      <c r="I20" s="3" t="s">
        <v>27</v>
      </c>
      <c r="J20" s="5" t="s">
        <v>4</v>
      </c>
      <c r="K20" s="5" t="s">
        <v>80</v>
      </c>
      <c r="L20" s="11" t="s">
        <v>29</v>
      </c>
      <c r="M20" s="7" t="s">
        <v>81</v>
      </c>
    </row>
    <row r="21" spans="1:13" x14ac:dyDescent="0.25">
      <c r="A21" s="3">
        <v>15</v>
      </c>
      <c r="B21" s="5" t="s">
        <v>82</v>
      </c>
      <c r="C21" s="37" t="s">
        <v>83</v>
      </c>
      <c r="D21" s="7" t="s">
        <v>84</v>
      </c>
      <c r="E21" s="8">
        <v>1</v>
      </c>
      <c r="F21" s="3" t="s">
        <v>26</v>
      </c>
      <c r="G21" s="9">
        <v>23.39</v>
      </c>
      <c r="H21" s="10">
        <f t="shared" si="0"/>
        <v>23.39</v>
      </c>
      <c r="I21" s="3" t="s">
        <v>85</v>
      </c>
      <c r="J21" s="5" t="s">
        <v>86</v>
      </c>
      <c r="K21" s="5" t="s">
        <v>31</v>
      </c>
      <c r="L21" s="11" t="s">
        <v>29</v>
      </c>
      <c r="M21" s="7" t="s">
        <v>87</v>
      </c>
    </row>
    <row r="22" spans="1:13" x14ac:dyDescent="0.25">
      <c r="A22" s="3">
        <v>16</v>
      </c>
      <c r="B22" s="5" t="s">
        <v>82</v>
      </c>
      <c r="C22" s="6" t="s">
        <v>88</v>
      </c>
      <c r="D22" s="7" t="s">
        <v>89</v>
      </c>
      <c r="E22" s="8">
        <v>1</v>
      </c>
      <c r="F22" s="3" t="s">
        <v>26</v>
      </c>
      <c r="G22" s="9">
        <v>19.95</v>
      </c>
      <c r="H22" s="10">
        <f t="shared" si="0"/>
        <v>19.95</v>
      </c>
      <c r="I22" s="3" t="s">
        <v>85</v>
      </c>
      <c r="J22" s="5" t="s">
        <v>90</v>
      </c>
      <c r="K22" s="5" t="s">
        <v>91</v>
      </c>
      <c r="L22" s="11" t="s">
        <v>29</v>
      </c>
      <c r="M22" s="7" t="s">
        <v>92</v>
      </c>
    </row>
    <row r="23" spans="1:13" x14ac:dyDescent="0.25">
      <c r="A23" s="3">
        <v>17</v>
      </c>
      <c r="B23" s="5" t="s">
        <v>23</v>
      </c>
      <c r="C23" s="6" t="s">
        <v>93</v>
      </c>
      <c r="D23" s="7" t="s">
        <v>94</v>
      </c>
      <c r="E23" s="8">
        <v>1</v>
      </c>
      <c r="F23" s="3" t="s">
        <v>26</v>
      </c>
      <c r="G23" s="9">
        <v>17.95</v>
      </c>
      <c r="H23" s="10">
        <f t="shared" si="0"/>
        <v>17.95</v>
      </c>
      <c r="I23" s="3" t="s">
        <v>95</v>
      </c>
      <c r="J23" s="5" t="s">
        <v>6</v>
      </c>
      <c r="K23" s="5" t="s">
        <v>31</v>
      </c>
      <c r="L23" s="11" t="s">
        <v>29</v>
      </c>
      <c r="M23" s="7" t="s">
        <v>96</v>
      </c>
    </row>
    <row r="25" spans="1:13" x14ac:dyDescent="0.25">
      <c r="C25" s="13" t="s">
        <v>97</v>
      </c>
      <c r="D25" s="14"/>
      <c r="E25" s="14"/>
      <c r="F25" s="14"/>
      <c r="G25" s="14"/>
      <c r="H25" s="15">
        <f>SUMIFS(H5:H23,I5:I23,"Te bestellen")</f>
        <v>255.2764</v>
      </c>
    </row>
  </sheetData>
  <autoFilter ref="A4:M23" xr:uid="{00000000-0009-0000-0000-000001000000}"/>
  <conditionalFormatting sqref="I5:I23">
    <cfRule type="expression" dxfId="9" priority="2">
      <formula>$I5="Te bestellen"</formula>
    </cfRule>
    <cfRule type="expression" dxfId="8" priority="3">
      <formula>$I5="Toegekomen"</formula>
    </cfRule>
    <cfRule type="expression" dxfId="7" priority="4">
      <formula>$I5="Vervalt?"</formula>
    </cfRule>
    <cfRule type="expression" dxfId="6" priority="5">
      <formula>$I5="Nog te kiezen"</formula>
    </cfRule>
  </conditionalFormatting>
  <dataValidations count="1">
    <dataValidation type="list" sqref="I5:I23" xr:uid="{00000000-0002-0000-0100-000000000000}">
      <formula1>"Te bestellen,Toegekomen,Vervalt?,Nog te kiezen"</formula1>
      <formula2>0</formula2>
    </dataValidation>
  </dataValidations>
  <hyperlinks>
    <hyperlink ref="L5" r:id="rId1" xr:uid="{00000000-0004-0000-0100-000000000000}"/>
    <hyperlink ref="L7" r:id="rId2" xr:uid="{00000000-0004-0000-0100-000001000000}"/>
    <hyperlink ref="L10" r:id="rId3" xr:uid="{00000000-0004-0000-0100-000002000000}"/>
    <hyperlink ref="L11" r:id="rId4" xr:uid="{00000000-0004-0000-0100-000003000000}"/>
    <hyperlink ref="L12" r:id="rId5" xr:uid="{00000000-0004-0000-0100-000004000000}"/>
    <hyperlink ref="L13" r:id="rId6" xr:uid="{00000000-0004-0000-0100-000005000000}"/>
    <hyperlink ref="L14" r:id="rId7" xr:uid="{00000000-0004-0000-0100-000006000000}"/>
    <hyperlink ref="L16" r:id="rId8" xr:uid="{00000000-0004-0000-0100-000008000000}"/>
    <hyperlink ref="L20" r:id="rId9" xr:uid="{00000000-0004-0000-0100-00000A000000}"/>
    <hyperlink ref="L21" r:id="rId10" xr:uid="{00000000-0004-0000-0100-00000B000000}"/>
    <hyperlink ref="L22" r:id="rId11" xr:uid="{00000000-0004-0000-0100-00000C000000}"/>
    <hyperlink ref="L23" r:id="rId12" xr:uid="{00000000-0004-0000-0100-00000D000000}"/>
    <hyperlink ref="F9" r:id="rId13" tooltip="https://www.123-3d.nl/123-3D-GT2-Pulley-hoge-resolutie-9-mm-riem-60-tanden-8-mm-as-i2573.html" xr:uid="{A10FE225-9535-46DE-97FF-D34E1853ACC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3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6" sqref="B6:M9"/>
    </sheetView>
  </sheetViews>
  <sheetFormatPr defaultColWidth="8.7109375" defaultRowHeight="15" x14ac:dyDescent="0.25"/>
  <cols>
    <col min="1" max="1" width="5" customWidth="1"/>
    <col min="2" max="2" width="18" customWidth="1"/>
    <col min="3" max="3" width="46" customWidth="1"/>
    <col min="4" max="4" width="52" customWidth="1"/>
    <col min="5" max="5" width="9" customWidth="1"/>
    <col min="6" max="6" width="10" customWidth="1"/>
    <col min="7" max="7" width="16" customWidth="1"/>
    <col min="8" max="8" width="13" customWidth="1"/>
    <col min="9" max="9" width="16" customWidth="1"/>
    <col min="10" max="10" width="15" customWidth="1"/>
    <col min="11" max="11" width="18" customWidth="1"/>
    <col min="12" max="12" width="9" customWidth="1"/>
    <col min="13" max="13" width="60" customWidth="1"/>
  </cols>
  <sheetData>
    <row r="1" spans="1:13" ht="20.25" x14ac:dyDescent="0.3">
      <c r="A1" s="1" t="s">
        <v>98</v>
      </c>
    </row>
    <row r="2" spans="1:13" x14ac:dyDescent="0.25">
      <c r="A2" s="2" t="s">
        <v>99</v>
      </c>
    </row>
    <row r="4" spans="1:13" ht="33.75" customHeight="1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0</v>
      </c>
      <c r="I4" s="4" t="s">
        <v>100</v>
      </c>
      <c r="J4" s="4" t="s">
        <v>19</v>
      </c>
      <c r="K4" s="4" t="s">
        <v>20</v>
      </c>
      <c r="L4" s="4" t="s">
        <v>21</v>
      </c>
      <c r="M4" s="4" t="s">
        <v>22</v>
      </c>
    </row>
    <row r="5" spans="1:13" x14ac:dyDescent="0.25">
      <c r="A5" s="3">
        <v>1</v>
      </c>
      <c r="B5" s="5"/>
      <c r="C5" s="6"/>
      <c r="D5" s="7"/>
      <c r="E5" s="8"/>
      <c r="F5" s="3"/>
      <c r="G5" s="9"/>
      <c r="H5" s="10"/>
      <c r="I5" s="3"/>
      <c r="J5" s="5"/>
      <c r="K5" s="5"/>
      <c r="L5" s="11"/>
      <c r="M5" s="7"/>
    </row>
    <row r="6" spans="1:13" x14ac:dyDescent="0.25">
      <c r="A6" s="3">
        <v>2</v>
      </c>
      <c r="B6" s="5"/>
      <c r="C6" s="6"/>
      <c r="D6" s="7"/>
      <c r="E6" s="8"/>
      <c r="F6" s="3"/>
      <c r="G6" s="9"/>
      <c r="H6" s="10"/>
      <c r="I6" s="3"/>
      <c r="J6" s="5"/>
      <c r="K6" s="5"/>
      <c r="L6" s="11"/>
      <c r="M6" s="7"/>
    </row>
    <row r="7" spans="1:13" x14ac:dyDescent="0.25">
      <c r="A7" s="3">
        <v>3</v>
      </c>
      <c r="B7" s="5"/>
      <c r="C7" s="6"/>
      <c r="D7" s="7"/>
      <c r="E7" s="8"/>
      <c r="F7" s="3"/>
      <c r="G7" s="9"/>
      <c r="H7" s="10"/>
      <c r="I7" s="3"/>
      <c r="J7" s="5"/>
      <c r="K7" s="5"/>
      <c r="L7" s="11"/>
      <c r="M7" s="7"/>
    </row>
    <row r="8" spans="1:13" x14ac:dyDescent="0.25">
      <c r="A8" s="3">
        <v>4</v>
      </c>
      <c r="B8" s="5"/>
      <c r="C8" s="6"/>
      <c r="D8" s="7"/>
      <c r="E8" s="8"/>
      <c r="F8" s="3"/>
      <c r="G8" s="9"/>
      <c r="H8" s="10"/>
      <c r="I8" s="3"/>
      <c r="J8" s="5"/>
      <c r="K8" s="5"/>
      <c r="L8" s="11"/>
      <c r="M8" s="7"/>
    </row>
    <row r="9" spans="1:13" x14ac:dyDescent="0.25">
      <c r="A9" s="3">
        <v>5</v>
      </c>
      <c r="B9" s="5"/>
      <c r="C9" s="6"/>
      <c r="D9" s="7"/>
      <c r="E9" s="8"/>
      <c r="F9" s="3"/>
      <c r="G9" s="9"/>
      <c r="H9" s="10"/>
      <c r="I9" s="3"/>
      <c r="J9" s="5"/>
      <c r="K9" s="5"/>
      <c r="L9" s="11"/>
      <c r="M9" s="7"/>
    </row>
    <row r="10" spans="1:13" x14ac:dyDescent="0.25">
      <c r="A10" s="3">
        <v>6</v>
      </c>
      <c r="B10" s="5" t="s">
        <v>73</v>
      </c>
      <c r="C10" s="6" t="s">
        <v>102</v>
      </c>
      <c r="D10" s="7" t="s">
        <v>103</v>
      </c>
      <c r="E10" s="8">
        <v>4</v>
      </c>
      <c r="F10" s="3" t="s">
        <v>26</v>
      </c>
      <c r="G10" s="9">
        <v>0.3</v>
      </c>
      <c r="H10" s="10">
        <f t="shared" ref="H5:H26" si="0">IF(G10="","",E10*G10)</f>
        <v>1.2</v>
      </c>
      <c r="I10" s="3" t="s">
        <v>101</v>
      </c>
      <c r="J10" s="5" t="s">
        <v>2</v>
      </c>
      <c r="K10" s="5" t="s">
        <v>104</v>
      </c>
      <c r="L10" s="11" t="s">
        <v>29</v>
      </c>
      <c r="M10" s="7" t="s">
        <v>105</v>
      </c>
    </row>
    <row r="11" spans="1:13" x14ac:dyDescent="0.25">
      <c r="A11" s="3">
        <v>7</v>
      </c>
      <c r="B11" s="5" t="s">
        <v>73</v>
      </c>
      <c r="C11" s="6" t="s">
        <v>106</v>
      </c>
      <c r="D11" s="7" t="s">
        <v>107</v>
      </c>
      <c r="E11" s="8">
        <v>1</v>
      </c>
      <c r="F11" s="3" t="s">
        <v>108</v>
      </c>
      <c r="G11" s="9">
        <v>3.49</v>
      </c>
      <c r="H11" s="10">
        <f t="shared" si="0"/>
        <v>3.49</v>
      </c>
      <c r="I11" s="3" t="s">
        <v>101</v>
      </c>
      <c r="J11" s="5" t="s">
        <v>5</v>
      </c>
      <c r="K11" s="5" t="s">
        <v>31</v>
      </c>
      <c r="L11" s="11" t="s">
        <v>29</v>
      </c>
      <c r="M11" s="7" t="s">
        <v>109</v>
      </c>
    </row>
    <row r="12" spans="1:13" x14ac:dyDescent="0.25">
      <c r="A12" s="3">
        <v>8</v>
      </c>
      <c r="B12" s="5" t="s">
        <v>73</v>
      </c>
      <c r="C12" s="6" t="s">
        <v>110</v>
      </c>
      <c r="D12" s="7" t="s">
        <v>111</v>
      </c>
      <c r="E12" s="8">
        <v>2</v>
      </c>
      <c r="F12" s="3" t="s">
        <v>26</v>
      </c>
      <c r="G12" s="9">
        <v>0.65</v>
      </c>
      <c r="H12" s="10">
        <f t="shared" si="0"/>
        <v>1.3</v>
      </c>
      <c r="I12" s="3" t="s">
        <v>101</v>
      </c>
      <c r="J12" s="5" t="s">
        <v>5</v>
      </c>
      <c r="K12" s="5" t="s">
        <v>31</v>
      </c>
      <c r="L12" s="11" t="s">
        <v>29</v>
      </c>
      <c r="M12" s="7" t="s">
        <v>112</v>
      </c>
    </row>
    <row r="13" spans="1:13" x14ac:dyDescent="0.25">
      <c r="A13" s="3">
        <v>9</v>
      </c>
      <c r="B13" s="5"/>
      <c r="C13" s="6"/>
      <c r="D13" s="7"/>
      <c r="E13" s="8"/>
      <c r="F13" s="3"/>
      <c r="G13" s="9"/>
      <c r="H13" s="10"/>
      <c r="I13" s="3"/>
      <c r="J13" s="5"/>
      <c r="K13" s="5"/>
      <c r="L13" s="11"/>
      <c r="M13" s="7"/>
    </row>
    <row r="14" spans="1:13" x14ac:dyDescent="0.25">
      <c r="A14" s="3">
        <v>10</v>
      </c>
      <c r="B14" s="5" t="s">
        <v>113</v>
      </c>
      <c r="C14" s="6" t="s">
        <v>114</v>
      </c>
      <c r="D14" s="7" t="s">
        <v>115</v>
      </c>
      <c r="E14" s="8">
        <v>3</v>
      </c>
      <c r="F14" s="3" t="s">
        <v>59</v>
      </c>
      <c r="G14" s="9">
        <v>2.75</v>
      </c>
      <c r="H14" s="10">
        <f t="shared" si="0"/>
        <v>8.25</v>
      </c>
      <c r="I14" s="3" t="s">
        <v>101</v>
      </c>
      <c r="J14" s="5" t="s">
        <v>6</v>
      </c>
      <c r="K14" s="5" t="s">
        <v>31</v>
      </c>
      <c r="L14" s="11" t="s">
        <v>29</v>
      </c>
      <c r="M14" s="7" t="s">
        <v>7</v>
      </c>
    </row>
    <row r="15" spans="1:13" ht="25.5" x14ac:dyDescent="0.25">
      <c r="A15" s="3">
        <v>11</v>
      </c>
      <c r="B15" s="5" t="s">
        <v>113</v>
      </c>
      <c r="C15" s="6" t="s">
        <v>116</v>
      </c>
      <c r="D15" s="7" t="s">
        <v>117</v>
      </c>
      <c r="E15" s="8">
        <v>3</v>
      </c>
      <c r="F15" s="3" t="s">
        <v>59</v>
      </c>
      <c r="G15" s="9">
        <v>2.75</v>
      </c>
      <c r="H15" s="10">
        <f t="shared" si="0"/>
        <v>8.25</v>
      </c>
      <c r="I15" s="3" t="s">
        <v>101</v>
      </c>
      <c r="J15" s="5" t="s">
        <v>6</v>
      </c>
      <c r="K15" s="5" t="s">
        <v>31</v>
      </c>
      <c r="L15" s="11" t="s">
        <v>29</v>
      </c>
      <c r="M15" s="7" t="s">
        <v>118</v>
      </c>
    </row>
    <row r="16" spans="1:13" x14ac:dyDescent="0.25">
      <c r="A16" s="3">
        <v>12</v>
      </c>
      <c r="B16" s="5" t="s">
        <v>113</v>
      </c>
      <c r="C16" s="6" t="s">
        <v>119</v>
      </c>
      <c r="D16" s="7" t="s">
        <v>120</v>
      </c>
      <c r="E16" s="8">
        <v>1</v>
      </c>
      <c r="F16" s="3" t="s">
        <v>121</v>
      </c>
      <c r="G16" s="9">
        <v>1.36</v>
      </c>
      <c r="H16" s="10">
        <f t="shared" si="0"/>
        <v>1.36</v>
      </c>
      <c r="I16" s="3" t="s">
        <v>122</v>
      </c>
      <c r="J16" s="5" t="s">
        <v>2</v>
      </c>
      <c r="K16" s="5" t="s">
        <v>123</v>
      </c>
      <c r="L16" s="11" t="s">
        <v>29</v>
      </c>
      <c r="M16" s="7" t="s">
        <v>124</v>
      </c>
    </row>
    <row r="17" spans="1:13" ht="25.5" x14ac:dyDescent="0.25">
      <c r="A17" s="3">
        <v>13</v>
      </c>
      <c r="B17" s="5" t="s">
        <v>113</v>
      </c>
      <c r="C17" s="6" t="s">
        <v>125</v>
      </c>
      <c r="D17" s="7" t="s">
        <v>126</v>
      </c>
      <c r="E17" s="8">
        <v>2</v>
      </c>
      <c r="F17" s="3" t="s">
        <v>127</v>
      </c>
      <c r="G17" s="9">
        <v>2.89</v>
      </c>
      <c r="H17" s="10">
        <f t="shared" si="0"/>
        <v>5.78</v>
      </c>
      <c r="I17" s="3" t="s">
        <v>101</v>
      </c>
      <c r="J17" s="5" t="s">
        <v>2</v>
      </c>
      <c r="K17" s="5" t="s">
        <v>128</v>
      </c>
      <c r="L17" s="11" t="s">
        <v>29</v>
      </c>
      <c r="M17" s="7" t="s">
        <v>129</v>
      </c>
    </row>
    <row r="18" spans="1:13" ht="25.5" x14ac:dyDescent="0.25">
      <c r="A18" s="3">
        <v>14</v>
      </c>
      <c r="B18" s="5" t="s">
        <v>113</v>
      </c>
      <c r="C18" s="6" t="s">
        <v>130</v>
      </c>
      <c r="D18" s="7" t="s">
        <v>131</v>
      </c>
      <c r="E18" s="8">
        <v>1</v>
      </c>
      <c r="F18" s="3" t="s">
        <v>26</v>
      </c>
      <c r="G18" s="9"/>
      <c r="H18" s="10" t="str">
        <f t="shared" si="0"/>
        <v/>
      </c>
      <c r="I18" s="3" t="s">
        <v>101</v>
      </c>
      <c r="J18" s="5" t="s">
        <v>31</v>
      </c>
      <c r="K18" s="5" t="s">
        <v>31</v>
      </c>
      <c r="L18" s="3" t="s">
        <v>31</v>
      </c>
      <c r="M18" s="12" t="s">
        <v>132</v>
      </c>
    </row>
    <row r="19" spans="1:13" x14ac:dyDescent="0.25">
      <c r="A19" s="3">
        <v>15</v>
      </c>
      <c r="B19" s="5" t="s">
        <v>113</v>
      </c>
      <c r="C19" s="6" t="s">
        <v>133</v>
      </c>
      <c r="D19" s="7" t="s">
        <v>134</v>
      </c>
      <c r="E19" s="8">
        <v>1</v>
      </c>
      <c r="F19" s="3" t="s">
        <v>70</v>
      </c>
      <c r="G19" s="9">
        <v>13.85</v>
      </c>
      <c r="H19" s="10">
        <f t="shared" si="0"/>
        <v>13.85</v>
      </c>
      <c r="I19" s="3" t="s">
        <v>135</v>
      </c>
      <c r="J19" s="5" t="s">
        <v>86</v>
      </c>
      <c r="K19" s="5" t="s">
        <v>136</v>
      </c>
      <c r="L19" s="11" t="s">
        <v>29</v>
      </c>
      <c r="M19" s="7" t="s">
        <v>137</v>
      </c>
    </row>
    <row r="20" spans="1:13" ht="25.5" x14ac:dyDescent="0.25">
      <c r="A20" s="3">
        <v>16</v>
      </c>
      <c r="B20" s="5" t="s">
        <v>138</v>
      </c>
      <c r="C20" s="6" t="s">
        <v>139</v>
      </c>
      <c r="D20" s="7" t="s">
        <v>140</v>
      </c>
      <c r="E20" s="8">
        <v>1</v>
      </c>
      <c r="F20" s="3" t="s">
        <v>26</v>
      </c>
      <c r="G20" s="9">
        <v>26.41</v>
      </c>
      <c r="H20" s="10">
        <f t="shared" si="0"/>
        <v>26.41</v>
      </c>
      <c r="I20" s="3" t="s">
        <v>122</v>
      </c>
      <c r="J20" s="5" t="s">
        <v>2</v>
      </c>
      <c r="K20" s="5" t="s">
        <v>141</v>
      </c>
      <c r="L20" s="11" t="s">
        <v>29</v>
      </c>
      <c r="M20" s="7" t="s">
        <v>142</v>
      </c>
    </row>
    <row r="21" spans="1:13" x14ac:dyDescent="0.25">
      <c r="A21" s="3">
        <v>17</v>
      </c>
      <c r="B21" s="5" t="s">
        <v>73</v>
      </c>
      <c r="C21" s="6" t="s">
        <v>143</v>
      </c>
      <c r="D21" s="7" t="s">
        <v>144</v>
      </c>
      <c r="E21" s="8">
        <v>1</v>
      </c>
      <c r="F21" s="3" t="s">
        <v>26</v>
      </c>
      <c r="G21" s="9">
        <v>5.9</v>
      </c>
      <c r="H21" s="10">
        <f t="shared" si="0"/>
        <v>5.9</v>
      </c>
      <c r="I21" s="3" t="s">
        <v>135</v>
      </c>
      <c r="J21" s="5" t="s">
        <v>5</v>
      </c>
      <c r="K21" s="5" t="s">
        <v>31</v>
      </c>
      <c r="L21" s="11" t="s">
        <v>29</v>
      </c>
      <c r="M21" s="7" t="s">
        <v>145</v>
      </c>
    </row>
    <row r="22" spans="1:13" ht="25.5" x14ac:dyDescent="0.25">
      <c r="A22" s="3">
        <v>18</v>
      </c>
      <c r="B22" s="5" t="s">
        <v>56</v>
      </c>
      <c r="C22" s="6" t="s">
        <v>146</v>
      </c>
      <c r="D22" s="7" t="s">
        <v>147</v>
      </c>
      <c r="E22" s="8">
        <v>20</v>
      </c>
      <c r="F22" s="3" t="s">
        <v>26</v>
      </c>
      <c r="G22" s="9">
        <v>0.53</v>
      </c>
      <c r="H22" s="10">
        <f t="shared" si="0"/>
        <v>10.600000000000001</v>
      </c>
      <c r="I22" s="3" t="s">
        <v>101</v>
      </c>
      <c r="J22" s="5" t="s">
        <v>3</v>
      </c>
      <c r="K22" s="5" t="s">
        <v>148</v>
      </c>
      <c r="L22" s="11" t="s">
        <v>29</v>
      </c>
      <c r="M22" s="7" t="s">
        <v>149</v>
      </c>
    </row>
    <row r="23" spans="1:13" x14ac:dyDescent="0.25">
      <c r="A23" s="3">
        <v>19</v>
      </c>
      <c r="B23" s="5" t="s">
        <v>56</v>
      </c>
      <c r="C23" s="6" t="s">
        <v>150</v>
      </c>
      <c r="D23" s="7" t="s">
        <v>151</v>
      </c>
      <c r="E23" s="8">
        <v>1</v>
      </c>
      <c r="F23" s="3" t="s">
        <v>152</v>
      </c>
      <c r="G23" s="9">
        <v>3.55</v>
      </c>
      <c r="H23" s="10">
        <f t="shared" si="0"/>
        <v>3.55</v>
      </c>
      <c r="I23" s="3" t="s">
        <v>101</v>
      </c>
      <c r="J23" s="5" t="s">
        <v>1</v>
      </c>
      <c r="K23" s="5" t="s">
        <v>153</v>
      </c>
      <c r="L23" s="11" t="s">
        <v>29</v>
      </c>
      <c r="M23" s="7"/>
    </row>
    <row r="24" spans="1:13" ht="25.5" x14ac:dyDescent="0.25">
      <c r="A24" s="3">
        <v>20</v>
      </c>
      <c r="B24" s="5" t="s">
        <v>56</v>
      </c>
      <c r="C24" s="6" t="s">
        <v>154</v>
      </c>
      <c r="D24" s="7" t="s">
        <v>155</v>
      </c>
      <c r="E24" s="8">
        <v>0</v>
      </c>
      <c r="F24" s="3" t="s">
        <v>26</v>
      </c>
      <c r="G24" s="9"/>
      <c r="H24" s="10" t="str">
        <f t="shared" si="0"/>
        <v/>
      </c>
      <c r="I24" s="3" t="s">
        <v>156</v>
      </c>
      <c r="J24" s="5" t="s">
        <v>31</v>
      </c>
      <c r="K24" s="5" t="s">
        <v>31</v>
      </c>
      <c r="L24" s="3" t="s">
        <v>31</v>
      </c>
      <c r="M24" s="12" t="s">
        <v>157</v>
      </c>
    </row>
    <row r="25" spans="1:13" x14ac:dyDescent="0.25">
      <c r="A25" s="3">
        <v>21</v>
      </c>
      <c r="B25" s="5" t="s">
        <v>158</v>
      </c>
      <c r="C25" s="6" t="s">
        <v>159</v>
      </c>
      <c r="D25" s="7" t="s">
        <v>160</v>
      </c>
      <c r="E25" s="8">
        <v>1</v>
      </c>
      <c r="F25" s="3" t="s">
        <v>152</v>
      </c>
      <c r="G25" s="9">
        <v>4.55</v>
      </c>
      <c r="H25" s="10">
        <f t="shared" si="0"/>
        <v>4.55</v>
      </c>
      <c r="I25" s="3" t="s">
        <v>122</v>
      </c>
      <c r="J25" s="5" t="s">
        <v>1</v>
      </c>
      <c r="K25" s="5" t="s">
        <v>161</v>
      </c>
      <c r="L25" s="11" t="s">
        <v>29</v>
      </c>
      <c r="M25" s="7" t="s">
        <v>162</v>
      </c>
    </row>
    <row r="26" spans="1:13" ht="25.5" x14ac:dyDescent="0.25">
      <c r="A26" s="3">
        <v>22</v>
      </c>
      <c r="B26" s="5" t="s">
        <v>56</v>
      </c>
      <c r="C26" s="6" t="s">
        <v>163</v>
      </c>
      <c r="D26" s="7" t="s">
        <v>164</v>
      </c>
      <c r="E26" s="8">
        <v>1</v>
      </c>
      <c r="F26" s="3" t="s">
        <v>70</v>
      </c>
      <c r="G26" s="9">
        <v>6.26</v>
      </c>
      <c r="H26" s="10">
        <f t="shared" si="0"/>
        <v>6.26</v>
      </c>
      <c r="I26" s="3" t="s">
        <v>101</v>
      </c>
      <c r="J26" s="5" t="s">
        <v>3</v>
      </c>
      <c r="K26" s="5" t="s">
        <v>165</v>
      </c>
      <c r="L26" s="11" t="s">
        <v>29</v>
      </c>
      <c r="M26" s="7" t="s">
        <v>166</v>
      </c>
    </row>
    <row r="28" spans="1:13" x14ac:dyDescent="0.25">
      <c r="C28" s="16" t="s">
        <v>167</v>
      </c>
      <c r="D28" s="17"/>
      <c r="E28" s="17"/>
      <c r="F28" s="17"/>
      <c r="G28" s="17"/>
      <c r="H28" s="18">
        <f>SUMIFS(H5:H26,I5:I26,"Nodig")</f>
        <v>48.68</v>
      </c>
    </row>
    <row r="29" spans="1:13" x14ac:dyDescent="0.25">
      <c r="C29" s="16" t="s">
        <v>168</v>
      </c>
      <c r="D29" s="17"/>
      <c r="E29" s="17"/>
      <c r="F29" s="17"/>
      <c r="G29" s="17"/>
      <c r="H29" s="18">
        <f>SUMIFS(H5:H26,I5:I26,"Aanbevolen")</f>
        <v>32.32</v>
      </c>
    </row>
    <row r="30" spans="1:13" x14ac:dyDescent="0.25">
      <c r="C30" s="16" t="s">
        <v>169</v>
      </c>
      <c r="D30" s="17"/>
      <c r="E30" s="17"/>
      <c r="F30" s="17"/>
      <c r="G30" s="17"/>
      <c r="H30" s="18">
        <f>SUMIFS(H5:H26,I5:I26,"Optioneel")</f>
        <v>19.75</v>
      </c>
    </row>
    <row r="31" spans="1:13" x14ac:dyDescent="0.25">
      <c r="C31" s="16" t="s">
        <v>170</v>
      </c>
      <c r="D31" s="17"/>
      <c r="E31" s="17"/>
      <c r="F31" s="17"/>
      <c r="G31" s="17"/>
      <c r="H31" s="18">
        <f>SUMIFS(H5:H26,I5:I26,"Alternatief")</f>
        <v>0</v>
      </c>
    </row>
    <row r="33" spans="3:3" x14ac:dyDescent="0.25">
      <c r="C33" s="19" t="s">
        <v>171</v>
      </c>
    </row>
  </sheetData>
  <autoFilter ref="A4:M26" xr:uid="{00000000-0009-0000-0000-000002000000}"/>
  <conditionalFormatting sqref="I5:I26">
    <cfRule type="expression" dxfId="5" priority="2">
      <formula>$I5="Nodig"</formula>
    </cfRule>
    <cfRule type="expression" dxfId="4" priority="3">
      <formula>$I5="Aanbevolen"</formula>
    </cfRule>
    <cfRule type="expression" dxfId="3" priority="4">
      <formula>$I5="Optioneel"</formula>
    </cfRule>
    <cfRule type="expression" dxfId="2" priority="5">
      <formula>$I5="Alternatief"</formula>
    </cfRule>
  </conditionalFormatting>
  <dataValidations count="1">
    <dataValidation type="list" sqref="I5:I26" xr:uid="{00000000-0002-0000-0200-000000000000}">
      <formula1>"Nodig,Aanbevolen,Optioneel,Alternatief"</formula1>
      <formula2>0</formula2>
    </dataValidation>
  </dataValidations>
  <hyperlinks>
    <hyperlink ref="L10" r:id="rId1" xr:uid="{00000000-0004-0000-0200-000005000000}"/>
    <hyperlink ref="L11" r:id="rId2" xr:uid="{00000000-0004-0000-0200-000006000000}"/>
    <hyperlink ref="L12" r:id="rId3" xr:uid="{00000000-0004-0000-0200-000007000000}"/>
    <hyperlink ref="L14" r:id="rId4" xr:uid="{00000000-0004-0000-0200-000009000000}"/>
    <hyperlink ref="L15" r:id="rId5" xr:uid="{00000000-0004-0000-0200-00000A000000}"/>
    <hyperlink ref="L16" r:id="rId6" xr:uid="{00000000-0004-0000-0200-00000B000000}"/>
    <hyperlink ref="L17" r:id="rId7" xr:uid="{00000000-0004-0000-0200-00000C000000}"/>
    <hyperlink ref="L19" r:id="rId8" xr:uid="{00000000-0004-0000-0200-00000D000000}"/>
    <hyperlink ref="L20" r:id="rId9" xr:uid="{00000000-0004-0000-0200-00000E000000}"/>
    <hyperlink ref="L21" r:id="rId10" xr:uid="{00000000-0004-0000-0200-00000F000000}"/>
    <hyperlink ref="L22" r:id="rId11" xr:uid="{00000000-0004-0000-0200-000010000000}"/>
    <hyperlink ref="L23" r:id="rId12" xr:uid="{00000000-0004-0000-0200-000011000000}"/>
    <hyperlink ref="L25" r:id="rId13" xr:uid="{00000000-0004-0000-0200-000012000000}"/>
    <hyperlink ref="L26" r:id="rId14" xr:uid="{00000000-0004-0000-0200-000013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5" customWidth="1"/>
    <col min="2" max="2" width="38" customWidth="1"/>
    <col min="3" max="3" width="14" customWidth="1"/>
    <col min="4" max="4" width="24" customWidth="1"/>
    <col min="5" max="5" width="14" customWidth="1"/>
    <col min="6" max="6" width="34" customWidth="1"/>
    <col min="7" max="8" width="14" customWidth="1"/>
    <col min="9" max="9" width="9" customWidth="1"/>
    <col min="10" max="10" width="14" customWidth="1"/>
    <col min="11" max="11" width="13" customWidth="1"/>
    <col min="12" max="12" width="14" customWidth="1"/>
    <col min="13" max="13" width="70" customWidth="1"/>
  </cols>
  <sheetData>
    <row r="1" spans="1:13" ht="20.25" x14ac:dyDescent="0.3">
      <c r="A1" s="1" t="s">
        <v>172</v>
      </c>
    </row>
    <row r="2" spans="1:13" x14ac:dyDescent="0.25">
      <c r="A2" s="2" t="s">
        <v>173</v>
      </c>
    </row>
    <row r="4" spans="1:13" ht="33.75" customHeight="1" x14ac:dyDescent="0.25">
      <c r="A4" s="4" t="s">
        <v>11</v>
      </c>
      <c r="B4" s="4" t="s">
        <v>174</v>
      </c>
      <c r="C4" s="4" t="s">
        <v>175</v>
      </c>
      <c r="D4" s="4" t="s">
        <v>176</v>
      </c>
      <c r="E4" s="4" t="s">
        <v>177</v>
      </c>
      <c r="F4" s="4" t="s">
        <v>178</v>
      </c>
      <c r="G4" s="4" t="s">
        <v>179</v>
      </c>
      <c r="H4" s="4" t="s">
        <v>180</v>
      </c>
      <c r="I4" s="4" t="s">
        <v>15</v>
      </c>
      <c r="J4" s="4" t="s">
        <v>181</v>
      </c>
      <c r="K4" s="4" t="s">
        <v>182</v>
      </c>
      <c r="L4" s="4" t="s">
        <v>18</v>
      </c>
      <c r="M4" s="4" t="s">
        <v>22</v>
      </c>
    </row>
    <row r="5" spans="1:13" ht="25.5" x14ac:dyDescent="0.25">
      <c r="A5" s="3">
        <v>1</v>
      </c>
      <c r="B5" s="6" t="s">
        <v>183</v>
      </c>
      <c r="C5" s="11" t="s">
        <v>29</v>
      </c>
      <c r="D5" s="7" t="s">
        <v>184</v>
      </c>
      <c r="E5" s="5" t="s">
        <v>185</v>
      </c>
      <c r="F5" s="7" t="s">
        <v>186</v>
      </c>
      <c r="G5" s="8">
        <v>15</v>
      </c>
      <c r="H5" s="8">
        <v>49</v>
      </c>
      <c r="I5" s="8">
        <v>0</v>
      </c>
      <c r="J5" s="20">
        <f>IF(OR(G5="",I5=""),"",G5*I5)</f>
        <v>0</v>
      </c>
      <c r="K5" s="21">
        <f>IF(OR(H5="",I5=""),"",H5*I5/60)</f>
        <v>0</v>
      </c>
      <c r="L5" s="3" t="s">
        <v>187</v>
      </c>
      <c r="M5" s="7" t="s">
        <v>188</v>
      </c>
    </row>
    <row r="6" spans="1:13" ht="25.5" x14ac:dyDescent="0.25">
      <c r="A6" s="3">
        <v>2</v>
      </c>
      <c r="B6" s="6" t="s">
        <v>189</v>
      </c>
      <c r="C6" s="11" t="s">
        <v>29</v>
      </c>
      <c r="D6" s="7" t="s">
        <v>190</v>
      </c>
      <c r="E6" s="5" t="s">
        <v>185</v>
      </c>
      <c r="F6" s="7" t="s">
        <v>191</v>
      </c>
      <c r="G6" s="8">
        <v>13</v>
      </c>
      <c r="H6" s="8">
        <v>37</v>
      </c>
      <c r="I6" s="8">
        <v>0</v>
      </c>
      <c r="J6" s="20">
        <f>IF(OR(G6="",I6=""),"",G6*I6)</f>
        <v>0</v>
      </c>
      <c r="K6" s="21">
        <f>IF(OR(H6="",I6=""),"",H6*I6/60)</f>
        <v>0</v>
      </c>
      <c r="L6" s="3" t="s">
        <v>187</v>
      </c>
      <c r="M6" s="7" t="s">
        <v>192</v>
      </c>
    </row>
    <row r="7" spans="1:13" ht="25.5" x14ac:dyDescent="0.25">
      <c r="A7" s="3">
        <v>3</v>
      </c>
      <c r="B7" s="6" t="s">
        <v>193</v>
      </c>
      <c r="C7" s="11" t="s">
        <v>29</v>
      </c>
      <c r="D7" s="7" t="s">
        <v>194</v>
      </c>
      <c r="E7" s="5" t="s">
        <v>195</v>
      </c>
      <c r="F7" s="7" t="s">
        <v>196</v>
      </c>
      <c r="G7" s="8"/>
      <c r="H7" s="8"/>
      <c r="I7" s="8">
        <v>4</v>
      </c>
      <c r="J7" s="20" t="str">
        <f>IF(OR(G7="",I7=""),"",G7*I7)</f>
        <v/>
      </c>
      <c r="K7" s="21" t="str">
        <f>IF(OR(H7="",I7=""),"",H7*I7/60)</f>
        <v/>
      </c>
      <c r="L7" s="3" t="s">
        <v>197</v>
      </c>
      <c r="M7" s="7" t="s">
        <v>198</v>
      </c>
    </row>
    <row r="9" spans="1:13" x14ac:dyDescent="0.25">
      <c r="B9" s="13" t="s">
        <v>199</v>
      </c>
      <c r="C9" s="13"/>
      <c r="D9" s="13"/>
      <c r="E9" s="13"/>
      <c r="F9" s="13"/>
      <c r="G9" s="13"/>
      <c r="H9" s="13"/>
      <c r="I9" s="13"/>
      <c r="J9" s="22">
        <f>SUMIFS(J5:J7,L5:L7,"Gebruiken")</f>
        <v>0</v>
      </c>
      <c r="K9" s="23">
        <f>SUMIFS(K5:K7,L5:L7,"Gebruiken")</f>
        <v>0</v>
      </c>
    </row>
    <row r="11" spans="1:13" x14ac:dyDescent="0.25">
      <c r="B11" s="24" t="s">
        <v>177</v>
      </c>
    </row>
    <row r="12" spans="1:13" x14ac:dyDescent="0.25">
      <c r="B12" s="25" t="s">
        <v>200</v>
      </c>
      <c r="C12" s="26" t="s">
        <v>29</v>
      </c>
      <c r="D12" s="27" t="s">
        <v>201</v>
      </c>
    </row>
    <row r="13" spans="1:13" x14ac:dyDescent="0.25">
      <c r="B13" s="25" t="s">
        <v>202</v>
      </c>
      <c r="D13" s="27" t="s">
        <v>203</v>
      </c>
    </row>
    <row r="14" spans="1:13" x14ac:dyDescent="0.25">
      <c r="B14" s="25" t="s">
        <v>204</v>
      </c>
      <c r="D14" s="28">
        <v>26.5</v>
      </c>
    </row>
    <row r="15" spans="1:13" x14ac:dyDescent="0.25">
      <c r="B15" s="25" t="s">
        <v>205</v>
      </c>
      <c r="D15" s="29">
        <f>J9/1000*D14</f>
        <v>0</v>
      </c>
    </row>
    <row r="16" spans="1:13" x14ac:dyDescent="0.25">
      <c r="B16" s="25" t="s">
        <v>206</v>
      </c>
      <c r="D16" s="30">
        <f>ROUNDUP(J9/1000,0)</f>
        <v>0</v>
      </c>
    </row>
    <row r="17" spans="2:2" x14ac:dyDescent="0.25">
      <c r="B17" s="2" t="s">
        <v>207</v>
      </c>
    </row>
  </sheetData>
  <conditionalFormatting sqref="L5:L7">
    <cfRule type="expression" dxfId="1" priority="2">
      <formula>$L5="Gebruiken"</formula>
    </cfRule>
    <cfRule type="expression" dxfId="0" priority="3">
      <formula>$L5="Vervalt"</formula>
    </cfRule>
  </conditionalFormatting>
  <dataValidations count="1">
    <dataValidation type="list" sqref="L5:L7" xr:uid="{00000000-0002-0000-0300-000000000000}">
      <formula1>"Gebruiken,Vervalt"</formula1>
      <formula2>0</formula2>
    </dataValidation>
  </dataValidations>
  <hyperlinks>
    <hyperlink ref="C5" r:id="rId1" xr:uid="{00000000-0004-0000-0300-000000000000}"/>
    <hyperlink ref="C6" r:id="rId2" xr:uid="{00000000-0004-0000-0300-000001000000}"/>
    <hyperlink ref="C7" r:id="rId3" xr:uid="{00000000-0004-0000-0300-000002000000}"/>
    <hyperlink ref="C12" r:id="rId4" xr:uid="{00000000-0004-0000-0300-000003000000}"/>
  </hyperlink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3</vt:i4>
      </vt:variant>
    </vt:vector>
  </HeadingPairs>
  <TitlesOfParts>
    <vt:vector size="6" baseType="lpstr">
      <vt:lpstr>BOM</vt:lpstr>
      <vt:lpstr>Extra voorstellen</vt:lpstr>
      <vt:lpstr>3D-prints</vt:lpstr>
      <vt:lpstr>BOM!Afdruktitels</vt:lpstr>
      <vt:lpstr>'Extra voorstellen'!Afdruktitels</vt:lpstr>
      <vt:lpstr>BOM!pDME00112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Lars Ysebaert</cp:lastModifiedBy>
  <cp:revision>0</cp:revision>
  <dcterms:created xsi:type="dcterms:W3CDTF">2026-10-01T11:47:11Z</dcterms:created>
  <dcterms:modified xsi:type="dcterms:W3CDTF">2026-10-08T07:19:01Z</dcterms:modified>
  <dc:language>en-US</dc:language>
</cp:coreProperties>
</file>